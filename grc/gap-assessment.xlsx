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p Assessm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<sst xmlns="http://schemas.openxmlformats.org/spreadsheetml/2006/main" count="88" uniqueCount="73">
  <si>
    <t xml:space="preserve">GAP ASSESSMENT — ISO/IEC 27001:2022 Annex A</t>
  </si>
  <si>
    <t xml:space="preserve">Phạm vi: hạ tầng và ứng dụng trong Banking Security Assessment lab (DC01, WEB01, WAZUH01, FW01). Đánh giá dựa trên bằng chứng thực tế thu thập từ Kịch bản 1 (ATO) và Kịch bản 2 (IDOR/BOLA).</t>
  </si>
  <si>
    <t xml:space="preserve">Control (ISO 27001:2022)</t>
  </si>
  <si>
    <t xml:space="preserve">Tên control</t>
  </si>
  <si>
    <t xml:space="preserve">Yêu cầu tóm tắt</t>
  </si>
  <si>
    <t xml:space="preserve">Bằng chứng trong dự án</t>
  </si>
  <si>
    <t xml:space="preserve">Đạt / Chưa đạt</t>
  </si>
  <si>
    <t xml:space="preserve">Gap (nếu có)</t>
  </si>
  <si>
    <t xml:space="preserve">Khuyến nghị khắc phục</t>
  </si>
  <si>
    <t xml:space="preserve">Nguồn (Kịch bản)</t>
  </si>
  <si>
    <t xml:space="preserve">A.8.5</t>
  </si>
  <si>
    <t xml:space="preserve">Secure authentication</t>
  </si>
  <si>
    <t xml:space="preserve">Áp dụng phương thức xác thực an toàn, phù hợp với mức độ rủi ro truy cập.</t>
  </si>
  <si>
    <t xml:space="preserve">GPO password policy + account lockout threshold trên DC01; Wazuh rule 60115/60122 phát hiện brute-force RDP (scenarios/01-ato/README.md Tầng 1-4)</t>
  </si>
  <si>
    <t xml:space="preserve">Đạt</t>
  </si>
  <si>
    <t xml:space="preserve">Không có</t>
  </si>
  <si>
    <t xml:space="preserve">Duy trì rà soát định kỳ ngưỡng lockout, cân nhắc bổ sung MFA cho truy cập quản trị.</t>
  </si>
  <si>
    <t xml:space="preserve">Kịch bản 1 — ATO</t>
  </si>
  <si>
    <t xml:space="preserve">A.5.17</t>
  </si>
  <si>
    <t xml:space="preserve">Authentication information</t>
  </si>
  <si>
    <t xml:space="preserve">Quản lý vòng đời thông tin xác thực (cấp phát, lưu trữ, thu hồi) một cách an toàn.</t>
  </si>
  <si>
    <t xml:space="preserve">Password policy GPO (độ dài, độ phức tạp, tuổi thọ mật khẩu) áp dụng cho tài khoản domain (infra/ad-gpo.md)</t>
  </si>
  <si>
    <t xml:space="preserve">Mở rộng chính sách sang các tài khoản dịch vụ/ứng dụng ngoài domain (xem A.5.17 ở DVWA tại A.8.9 bên dưới).</t>
  </si>
  <si>
    <t xml:space="preserve">A.8.16</t>
  </si>
  <si>
    <t xml:space="preserve">Monitoring activities</t>
  </si>
  <si>
    <t xml:space="preserve">Giám sát mạng, hệ thống và ứng dụng để phát hiện hành vi bất thường.</t>
  </si>
  <si>
    <t xml:space="preserve">Wazuh SIEM ghi nhận đầy đủ alert ATO (13 alert, rule 60115/60122) sau khi khắc phục sự cố filebeat; IDOR alert (rule 100011) xác nhận hoạt động end-to-end</t>
  </si>
  <si>
    <t xml:space="preserve">Đạt có điều kiện</t>
  </si>
  <si>
    <t xml:space="preserve">Pipeline SIEM (manager→filebeat→indexer→dashboard) từng âm thầm mất log do lệch credential, không có cảnh báo tự động khi 1 khâu lỗi.</t>
  </si>
  <si>
    <t xml:space="preserve">Triển khai health-check tự động định kỳ cho toàn bộ chuỗi pipeline SIEM, cảnh báo khi 1 thành phần ngừng gửi dữ liệu.</t>
  </si>
  <si>
    <t xml:space="preserve">Kịch bản 1 &amp; 2</t>
  </si>
  <si>
    <t xml:space="preserve">A.5.15</t>
  </si>
  <si>
    <t xml:space="preserve">Access control</t>
  </si>
  <si>
    <t xml:space="preserve">Thiết lập, triển khai và rà soát chính sách kiểm soát truy cập dựa trên yêu cầu nghiệp vụ và bảo mật.</t>
  </si>
  <si>
    <t xml:space="preserve">DVWA cho phép user hợp lệ xem dữ liệu của user khác chỉ bằng cách đổi tham số id (scenarios/02-idor/README.md Tầng 1-2)</t>
  </si>
  <si>
    <t xml:space="preserve">Chưa đạt</t>
  </si>
  <si>
    <t xml:space="preserve">Thiếu kiểm soát truy cập ở mức object (object-level authorization) tại tầng ứng dụng — chỉ kiểm soát được ở mức xác thực (đăng nhập), không kiểm soát ở mức dữ liệu.</t>
  </si>
  <si>
    <t xml:space="preserve">Bổ sung kiểm tra quyền sở hữu đối tượng (session_user_id so với id được yêu cầu) ở mọi endpoint trả dữ liệu theo ID.</t>
  </si>
  <si>
    <t xml:space="preserve">Kịch bản 2 — IDOR</t>
  </si>
  <si>
    <t xml:space="preserve">A.8.2</t>
  </si>
  <si>
    <t xml:space="preserve">Privileged access rights</t>
  </si>
  <si>
    <t xml:space="preserve">Hạn chế và kiểm soát việc cấp phát, sử dụng quyền truy cập đặc quyền.</t>
  </si>
  <si>
    <t xml:space="preserve">Tài khoản khai thác IDOR là tài khoản thường (không có quyền đặc quyền); không có privilege escalation xảy ra trong kịch bản</t>
  </si>
  <si>
    <t xml:space="preserve">Ranh giới giữa 'user thường' và 'truy cập ngoài phạm vi dữ liệu được phép' chưa được enforce rõ ràng ở tầng ứng dụng.</t>
  </si>
  <si>
    <t xml:space="preserve">Áp dụng nguyên tắc phân quyền theo dữ liệu (data-level authorization), không chỉ theo vai trò tài khoản.</t>
  </si>
  <si>
    <t xml:space="preserve">A.8.9</t>
  </si>
  <si>
    <t xml:space="preserve">Configuration management</t>
  </si>
  <si>
    <t xml:space="preserve">Quản lý cấu hình an toàn cho phần cứng, phần mềm, dịch vụ và mạng, bao gồm rà soát định kỳ.</t>
  </si>
  <si>
    <t xml:space="preserve">Đã thử toàn bộ các mức security level của DVWA (kể cả High) — xác nhận không có cấu hình nào vá được lỗi IDOR, khoanh vùng đúng nguyên nhân về tầng code</t>
  </si>
  <si>
    <t xml:space="preserve">Không có (control này đánh giá đúng việc rà soát cấu hình, không chịu trách nhiệm cho lỗi code).</t>
  </si>
  <si>
    <t xml:space="preserve">Không có.</t>
  </si>
  <si>
    <t xml:space="preserve">A.5.1</t>
  </si>
  <si>
    <t xml:space="preserve">Policies for information security</t>
  </si>
  <si>
    <t xml:space="preserve">Thiết lập, phê duyệt và truyền thông chính sách an toàn thông tin phù hợp mục tiêu tổ chức.</t>
  </si>
  <si>
    <t xml:space="preserve">Đã soạn thảo 2 chính sách: password.md, access-control.md (grc/policies/) ánh xạ tới các control liên quan</t>
  </si>
  <si>
    <t xml:space="preserve">Chính sách mới ở dạng bản thảo, chưa có quy trình phê duyệt chính thức, chưa có ngày hiệu lực và chu kỳ rà soát được xác nhận.</t>
  </si>
  <si>
    <t xml:space="preserve">Hoàn thiện phần Vai trò, Ngày hiệu lực và chu kỳ rà soát định kỳ (ví dụ hàng năm) trước khi ban hành chính thức.</t>
  </si>
  <si>
    <t xml:space="preserve">Chung (GRC)</t>
  </si>
  <si>
    <t xml:space="preserve">A.8.3</t>
  </si>
  <si>
    <t xml:space="preserve">Information access restriction</t>
  </si>
  <si>
    <t xml:space="preserve">Hạn chế truy cập thông tin và chức năng ứng dụng theo chính sách kiểm soát truy cập đã xác định.</t>
  </si>
  <si>
    <t xml:space="preserve">Lỗi IDOR trên DVWA chứng minh ứng dụng không giới hạn được quyền truy cập thông tin theo đúng user sở hữu</t>
  </si>
  <si>
    <t xml:space="preserve">Không có cơ chế hạn chế truy cập thông tin ở tầng dữ liệu cho ứng dụng web.</t>
  </si>
  <si>
    <t xml:space="preserve">Triển khai access control tại tầng ứng dụng (kiểm tra quyền trước khi trả dữ liệu), không chỉ dựa vào xác thực đăng nhập.</t>
  </si>
  <si>
    <t xml:space="preserve">A.5.37</t>
  </si>
  <si>
    <t xml:space="preserve">Documented operating procedures</t>
  </si>
  <si>
    <t xml:space="preserve">Tài liệu hoá quy trình vận hành cho các hoạt động liên quan an toàn thông tin.</t>
  </si>
  <si>
    <t xml:space="preserve">README theo 7 tầng cho mỗi kịch bản (scenarios/01-ato, scenarios/02-idor), tài liệu hạ tầng (infra/*.md), báo cáo sự cố theo NIST 800-61 (grc/reports/)</t>
  </si>
  <si>
    <t xml:space="preserve">Duy trì cập nhật tài liệu khi có thay đổi hạ tầng hoặc quy trình.</t>
  </si>
  <si>
    <t xml:space="preserve">Chung (toàn dự án)</t>
  </si>
  <si>
    <t xml:space="preserve">Tổng hợp:</t>
  </si>
  <si>
    <t xml:space="preserve">Tổng số control đánh giá:</t>
  </si>
  <si>
    <t xml:space="preserve">Tỷ lệ Đạt (kể cả có điều kiện):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</si>
</sst>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0B4"/>
        </patternFill>
      </fill>
    </dxf>
    <dxf>
      <fill>
        <patternFill>
          <bgColor rgb="FFFFF2C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4" min="4" style="0" width="40"/>
    <col collapsed="false" customWidth="true" hidden="false" outlineLevel="0" max="5" min="5" style="0" width="16"/>
    <col collapsed="false" customWidth="true" hidden="false" outlineLevel="0" max="7" min="6" style="0" width="36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69.75" hidden="false" customHeight="true" outlineLevel="0" collapsed="false">
      <c r="A5" s="4" t="s">
        <v>10</v>
      </c>
      <c r="B5" s="4" t="s">
        <v>11</v>
      </c>
      <c r="C5" s="4" t="s">
        <v>12</v>
      </c>
      <c r="D5" s="4" t="s">
        <v>13</v>
      </c>
      <c r="E5" s="5" t="s">
        <v>14</v>
      </c>
      <c r="F5" s="4" t="s">
        <v>15</v>
      </c>
      <c r="G5" s="4" t="s">
        <v>16</v>
      </c>
      <c r="H5" s="4" t="s">
        <v>17</v>
      </c>
    </row>
    <row r="6" customFormat="false" ht="69.75" hidden="false" customHeight="true" outlineLevel="0" collapsed="false">
      <c r="A6" s="4" t="s">
        <v>18</v>
      </c>
      <c r="B6" s="4" t="s">
        <v>19</v>
      </c>
      <c r="C6" s="4" t="s">
        <v>20</v>
      </c>
      <c r="D6" s="4" t="s">
        <v>21</v>
      </c>
      <c r="E6" s="5" t="s">
        <v>14</v>
      </c>
      <c r="F6" s="4" t="s">
        <v>15</v>
      </c>
      <c r="G6" s="4" t="s">
        <v>22</v>
      </c>
      <c r="H6" s="4" t="s">
        <v>17</v>
      </c>
    </row>
    <row r="7" customFormat="false" ht="69.75" hidden="false" customHeight="true" outlineLevel="0" collapsed="false">
      <c r="A7" s="4" t="s">
        <v>23</v>
      </c>
      <c r="B7" s="4" t="s">
        <v>24</v>
      </c>
      <c r="C7" s="4" t="s">
        <v>25</v>
      </c>
      <c r="D7" s="4" t="s">
        <v>26</v>
      </c>
      <c r="E7" s="5" t="s">
        <v>27</v>
      </c>
      <c r="F7" s="4" t="s">
        <v>28</v>
      </c>
      <c r="G7" s="4" t="s">
        <v>29</v>
      </c>
      <c r="H7" s="4" t="s">
        <v>30</v>
      </c>
    </row>
    <row r="8" customFormat="false" ht="69.75" hidden="false" customHeight="true" outlineLevel="0" collapsed="false">
      <c r="A8" s="4" t="s">
        <v>31</v>
      </c>
      <c r="B8" s="4" t="s">
        <v>32</v>
      </c>
      <c r="C8" s="4" t="s">
        <v>33</v>
      </c>
      <c r="D8" s="4" t="s">
        <v>34</v>
      </c>
      <c r="E8" s="5" t="s">
        <v>35</v>
      </c>
      <c r="F8" s="4" t="s">
        <v>36</v>
      </c>
      <c r="G8" s="4" t="s">
        <v>37</v>
      </c>
      <c r="H8" s="4" t="s">
        <v>38</v>
      </c>
    </row>
    <row r="9" customFormat="false" ht="69.75" hidden="false" customHeight="true" outlineLevel="0" collapsed="false">
      <c r="A9" s="4" t="s">
        <v>39</v>
      </c>
      <c r="B9" s="4" t="s">
        <v>40</v>
      </c>
      <c r="C9" s="4" t="s">
        <v>41</v>
      </c>
      <c r="D9" s="4" t="s">
        <v>42</v>
      </c>
      <c r="E9" s="5" t="s">
        <v>27</v>
      </c>
      <c r="F9" s="4" t="s">
        <v>43</v>
      </c>
      <c r="G9" s="4" t="s">
        <v>44</v>
      </c>
      <c r="H9" s="4" t="s">
        <v>38</v>
      </c>
    </row>
    <row r="10" customFormat="false" ht="69.75" hidden="false" customHeight="true" outlineLevel="0" collapsed="false">
      <c r="A10" s="4" t="s">
        <v>45</v>
      </c>
      <c r="B10" s="4" t="s">
        <v>46</v>
      </c>
      <c r="C10" s="4" t="s">
        <v>47</v>
      </c>
      <c r="D10" s="4" t="s">
        <v>48</v>
      </c>
      <c r="E10" s="5" t="s">
        <v>14</v>
      </c>
      <c r="F10" s="4" t="s">
        <v>49</v>
      </c>
      <c r="G10" s="4" t="s">
        <v>50</v>
      </c>
      <c r="H10" s="4" t="s">
        <v>38</v>
      </c>
    </row>
    <row r="11" customFormat="false" ht="69.75" hidden="false" customHeight="true" outlineLevel="0" collapsed="false">
      <c r="A11" s="4" t="s">
        <v>51</v>
      </c>
      <c r="B11" s="4" t="s">
        <v>52</v>
      </c>
      <c r="C11" s="4" t="s">
        <v>53</v>
      </c>
      <c r="D11" s="4" t="s">
        <v>54</v>
      </c>
      <c r="E11" s="5" t="s">
        <v>27</v>
      </c>
      <c r="F11" s="4" t="s">
        <v>55</v>
      </c>
      <c r="G11" s="4" t="s">
        <v>56</v>
      </c>
      <c r="H11" s="4" t="s">
        <v>57</v>
      </c>
    </row>
    <row r="12" customFormat="false" ht="69.75" hidden="false" customHeight="true" outlineLevel="0" collapsed="false">
      <c r="A12" s="4" t="s">
        <v>58</v>
      </c>
      <c r="B12" s="4" t="s">
        <v>59</v>
      </c>
      <c r="C12" s="4" t="s">
        <v>60</v>
      </c>
      <c r="D12" s="4" t="s">
        <v>61</v>
      </c>
      <c r="E12" s="5" t="s">
        <v>35</v>
      </c>
      <c r="F12" s="4" t="s">
        <v>62</v>
      </c>
      <c r="G12" s="4" t="s">
        <v>63</v>
      </c>
      <c r="H12" s="4" t="s">
        <v>38</v>
      </c>
    </row>
    <row r="13" customFormat="false" ht="69.75" hidden="false" customHeight="true" outlineLevel="0" collapsed="false">
      <c r="A13" s="4" t="s">
        <v>64</v>
      </c>
      <c r="B13" s="4" t="s">
        <v>65</v>
      </c>
      <c r="C13" s="4" t="s">
        <v>66</v>
      </c>
      <c r="D13" s="4" t="s">
        <v>67</v>
      </c>
      <c r="E13" s="5" t="s">
        <v>14</v>
      </c>
      <c r="F13" s="4" t="s">
        <v>50</v>
      </c>
      <c r="G13" s="4" t="s">
        <v>68</v>
      </c>
      <c r="H13" s="4" t="s">
        <v>69</v>
      </c>
    </row>
    <row r="15" customFormat="false" ht="15" hidden="false" customHeight="false" outlineLevel="0" collapsed="false">
      <c r="A15" s="6" t="s">
        <v>70</v>
      </c>
      <c r="B15" s="6" t="s">
        <v>14</v>
      </c>
      <c r="C15" s="7" t="n">
        <f aca="false">COUNTIF(E5:E13,"Đạt")</f>
        <v>4</v>
      </c>
      <c r="D15" s="6" t="s">
        <v>27</v>
      </c>
      <c r="E15" s="7" t="n">
        <f aca="false">COUNTIF(E5:E13,"Đạt có điều kiện")</f>
        <v>3</v>
      </c>
      <c r="F15" s="6" t="s">
        <v>35</v>
      </c>
      <c r="G15" s="7" t="n">
        <f aca="false">COUNTIF(E5:E13,"Chưa đạt")</f>
        <v>2</v>
      </c>
    </row>
    <row r="16" customFormat="false" ht="15" hidden="false" customHeight="false" outlineLevel="0" collapsed="false">
      <c r="A16" s="6" t="s">
        <v>71</v>
      </c>
      <c r="B16" s="7" t="n">
        <f aca="false">COUNTA(A5:A13)</f>
        <v>9</v>
      </c>
    </row>
    <row r="17" customFormat="false" ht="15" hidden="false" customHeight="false" outlineLevel="0" collapsed="false">
      <c r="A17" s="6" t="s">
        <v>72</v>
      </c>
      <c r="B17" s="8" t="n">
        <f aca="false">(COUNTIF(E5:E13,"Đạt")+COUNTIF(E5:E13,"Đạt có điều kiện"))/COUNTA(A5:A13)</f>
        <v>0.777777777777778</v>
      </c>
    </row>
  </sheetData>
  <mergeCells count="2">
    <mergeCell ref="A1:H1"/>
    <mergeCell ref="A2:H2"/>
  </mergeCells>
  <conditionalFormatting sqref="E5:E13">
    <cfRule type="expression" priority="2" aboveAverage="0" equalAverage="0" bottom="0" percent="0" rank="0" text="" dxfId="0">
      <formula>E5="Đạt"</formula>
    </cfRule>
    <cfRule type="expression" priority="3" aboveAverage="0" equalAverage="0" bottom="0" percent="0" rank="0" text="" dxfId="1">
      <formula>E5="Đạt có điều kiện"</formula>
    </cfRule>
    <cfRule type="expression" priority="4" aboveAverage="0" equalAverage="0" bottom="0" percent="0" rank="0" text="" dxfId="2">
      <formula>E5="Chưa đạt"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2026-10-07T16:04:51Z</dcterms:created>
  <dc:creator>openpyxl</dc:creator>
  <dc:description/>
  <dc:language>en-US</dc:language>
  <cp:lastModifiedBy/>
  <dcterms:modified xsi:type="dcterms:W3CDTF">2026-10-07T16:04:51Z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