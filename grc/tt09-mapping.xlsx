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T09 Mapp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<sst xmlns="http://schemas.openxmlformats.org/spreadsheetml/2006/main" count="83" uniqueCount="67">
  <si>
    <t xml:space="preserve">ÁNH XẠ THÔNG TƯ 09/2020/TT-NHNN — Banking Security Assessment</t>
  </si>
  <si>
    <t xml:space="preserve">Nguồn: Thông tư 09/2020/TT-NHNN (Quy định về an toàn hệ thống thông tin trong hoạt động ngân hàng), ngày 21/10/2020, Ngân hàng Nhà nước Việt Nam.</t>
  </si>
  <si>
    <t xml:space="preserve">Điều (TT09)</t>
  </si>
  <si>
    <t xml:space="preserve">Nội dung yêu cầu</t>
  </si>
  <si>
    <t xml:space="preserve">Control ISO 27001 tương ứng</t>
  </si>
  <si>
    <t xml:space="preserve">Bằng chứng trong dự án</t>
  </si>
  <si>
    <t xml:space="preserve">Đạt / Chưa đạt</t>
  </si>
  <si>
    <t xml:space="preserve">Nguồn (Kịch bản)</t>
  </si>
  <si>
    <t xml:space="preserve">Ghi chú</t>
  </si>
  <si>
    <t xml:space="preserve">Điều 6</t>
  </si>
  <si>
    <t xml:space="preserve">Quy chế an toàn thông tin (tổ chức phải ban hành quy chế/chính sách an toàn thông tin nội bộ)</t>
  </si>
  <si>
    <t xml:space="preserve">A.5.1 Policies for information security</t>
  </si>
  <si>
    <t xml:space="preserve">Đã soạn thảo 2 chính sách: grc/policies/password.md, grc/policies/access-control.md</t>
  </si>
  <si>
    <t xml:space="preserve">Đạt có điều kiện</t>
  </si>
  <si>
    <t xml:space="preserve">Chung (GRC)</t>
  </si>
  <si>
    <t xml:space="preserve">Chính sách còn ở dạng bản thảo, chưa có quy trình phê duyệt và ngày hiệu lực chính thức.</t>
  </si>
  <si>
    <t xml:space="preserve">Điều 22</t>
  </si>
  <si>
    <t xml:space="preserve">Sao lưu dự phòng (backup định kỳ cho hệ thống và dữ liệu quan trọng)</t>
  </si>
  <si>
    <t xml:space="preserve">A.8.13 Information backup</t>
  </si>
  <si>
    <t xml:space="preserve">Snapshot VMware cho DC01, WEB01, WAZUH01 sau mỗi giai đoạn dựng hạ tầng (infra/*.md)</t>
  </si>
  <si>
    <t xml:space="preserve">Đạt</t>
  </si>
  <si>
    <t xml:space="preserve">Hạ tầng lab</t>
  </si>
  <si>
    <t xml:space="preserve">Snapshot đóng vai trò backup trạng thái hệ thống trong phạm vi lab.</t>
  </si>
  <si>
    <t xml:space="preserve">Điều 26</t>
  </si>
  <si>
    <t xml:space="preserve">Giám sát và ghi nhật ký hoạt động hệ thống</t>
  </si>
  <si>
    <t xml:space="preserve">A.8.16 Monitoring activities</t>
  </si>
  <si>
    <t xml:space="preserve">Wazuh SIEM giám sát DC01 (rule 60115/60122, Kịch bản 1) và WEB01 (rule 100010/100011, Kịch bản 2)</t>
  </si>
  <si>
    <t xml:space="preserve">Kịch bản 1 &amp; 2</t>
  </si>
  <si>
    <t xml:space="preserve">Từng xảy ra sự cố pipeline SIEM mất log âm thầm (lệch credential filebeat) — cần health-check tự động.</t>
  </si>
  <si>
    <t xml:space="preserve">Điều 28</t>
  </si>
  <si>
    <t xml:space="preserve">Yêu cầu đối với kiểm soát truy cập (quản lý mật khẩu, khoá bí mật, ngưỡng khoá tài khoản)</t>
  </si>
  <si>
    <t xml:space="preserve">A.8.5 Secure authentication, A.5.17 Authentication information</t>
  </si>
  <si>
    <t xml:space="preserve">GPO password policy + account lockout threshold trên DC01 (infra/ad-gpo.md); phát hiện brute-force qua Wazuh</t>
  </si>
  <si>
    <t xml:space="preserve">Kịch bản 1 — ATO</t>
  </si>
  <si>
    <t xml:space="preserve">Không có gap đáng kể.</t>
  </si>
  <si>
    <t xml:space="preserve">Điều 29</t>
  </si>
  <si>
    <t xml:space="preserve">Quản lý truy cập mạng nội bộ (phân vùng mạng, kiểm soát luồng giữa các vùng)</t>
  </si>
  <si>
    <t xml:space="preserve">A.8.20 Networks security, A.8.22 Segregation of networks</t>
  </si>
  <si>
    <t xml:space="preserve">Phân vùng DMZ (WEB01) tách biệt LAN nội bộ (DC01) qua pfSense, NAT port-forward có kiểm soát (infra/pfsense.md)</t>
  </si>
  <si>
    <t xml:space="preserve">Đã phân vùng nhưng chưa có chu kỳ rà soát rule định kỳ — ghi nhận trong sổ rủi ro (R5).</t>
  </si>
  <si>
    <t xml:space="preserve">Điều 30</t>
  </si>
  <si>
    <t xml:space="preserve">Quản lý truy cập hệ thống thông tin và ứng dụng (xác thực và phân quyền truy cập dữ liệu)</t>
  </si>
  <si>
    <t xml:space="preserve">A.5.15 Access control, A.8.3 Information access restriction</t>
  </si>
  <si>
    <t xml:space="preserve">Lỗi IDOR trên DVWA: user hợp lệ xem được dữ liệu user khác chỉ bằng đổi tham số id</t>
  </si>
  <si>
    <t xml:space="preserve">Chưa đạt</t>
  </si>
  <si>
    <t xml:space="preserve">Kịch bản 2 — IDOR</t>
  </si>
  <si>
    <t xml:space="preserve">Gap ở tầng ứng dụng: thiếu object-level authorization, không enforce được bằng cấu hình hệ thống.</t>
  </si>
  <si>
    <t xml:space="preserve">Điều 38</t>
  </si>
  <si>
    <t xml:space="preserve">Bảo đảm an toàn, bảo mật ứng dụng</t>
  </si>
  <si>
    <t xml:space="preserve">A.8.26 Application security requirements</t>
  </si>
  <si>
    <t xml:space="preserve">Xác nhận DVWA không có cấu hình an toàn (kể cả mức cao nhất) khắc phục được lỗi IDOR — gap thuộc về code</t>
  </si>
  <si>
    <t xml:space="preserve">Cần escalate đội phát triển bổ sung kiểm tra authorization ở tầng code ứng dụng.</t>
  </si>
  <si>
    <t xml:space="preserve">Điều 43</t>
  </si>
  <si>
    <t xml:space="preserve">Quản lý điểm yếu kỹ thuật (nhận diện, đánh giá và xử lý lỗ hổng)</t>
  </si>
  <si>
    <t xml:space="preserve">A.8.8 Management of technical vulnerabilities</t>
  </si>
  <si>
    <t xml:space="preserve">Lỗ hổng IDOR đã được nhận diện, phân tích (STRIDE, OWASP, MITRE) và ghi vào sổ rủi ro (risk-register.xlsx, R2/R6)</t>
  </si>
  <si>
    <t xml:space="preserve">Đã nhận diện và theo dõi, chưa hoàn tất khắc phục (thuộc trách nhiệm đội phát triển).</t>
  </si>
  <si>
    <t xml:space="preserve">Điều 45</t>
  </si>
  <si>
    <t xml:space="preserve">Quy trình xử lý sự cố</t>
  </si>
  <si>
    <t xml:space="preserve">A.5.24 Information security incident management planning and preparation</t>
  </si>
  <si>
    <t xml:space="preserve">Báo cáo sự cố theo cấu trúc NIST SP 800-61 cho cả 2 kịch bản (grc/reports/incident-01-ato.md, incident-02-idor.md)</t>
  </si>
  <si>
    <t xml:space="preserve">Điều 48</t>
  </si>
  <si>
    <t xml:space="preserve">Hoạt động ứng cứu sự cố</t>
  </si>
  <si>
    <t xml:space="preserve">A.5.26 Response to information security incidents</t>
  </si>
  <si>
    <t xml:space="preserve">Đã thực hành đầy đủ chu trình phát hiện → phân tích → ngăn chặn → khôi phục → rút bài học cho cả 2 kịch bản tấn công thật</t>
  </si>
  <si>
    <t xml:space="preserve">Bao gồm cả xử lý sự cố vận hành phát sinh ngoài kịch bản (lỗi pipeline SIEM).</t>
  </si>
  <si>
    <t xml:space="preserve">Tổng hợp: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</si>
</sst>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6" min="5" style="0" width="16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61.5" hidden="false" customHeight="tru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5" t="s">
        <v>13</v>
      </c>
      <c r="F5" s="4" t="s">
        <v>14</v>
      </c>
      <c r="G5" s="4" t="s">
        <v>15</v>
      </c>
    </row>
    <row r="6" customFormat="false" ht="61.5" hidden="false" customHeight="tru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5" t="s">
        <v>20</v>
      </c>
      <c r="F6" s="4" t="s">
        <v>21</v>
      </c>
      <c r="G6" s="4" t="s">
        <v>22</v>
      </c>
    </row>
    <row r="7" customFormat="false" ht="61.5" hidden="false" customHeight="tru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5" t="s">
        <v>13</v>
      </c>
      <c r="F7" s="4" t="s">
        <v>27</v>
      </c>
      <c r="G7" s="4" t="s">
        <v>28</v>
      </c>
    </row>
    <row r="8" customFormat="false" ht="61.5" hidden="false" customHeight="true" outlineLevel="0" collapsed="false">
      <c r="A8" s="4" t="s">
        <v>29</v>
      </c>
      <c r="B8" s="4" t="s">
        <v>30</v>
      </c>
      <c r="C8" s="4" t="s">
        <v>31</v>
      </c>
      <c r="D8" s="4" t="s">
        <v>32</v>
      </c>
      <c r="E8" s="5" t="s">
        <v>20</v>
      </c>
      <c r="F8" s="4" t="s">
        <v>33</v>
      </c>
      <c r="G8" s="4" t="s">
        <v>34</v>
      </c>
    </row>
    <row r="9" customFormat="false" ht="61.5" hidden="false" customHeight="true" outlineLevel="0" collapsed="false">
      <c r="A9" s="4" t="s">
        <v>35</v>
      </c>
      <c r="B9" s="4" t="s">
        <v>36</v>
      </c>
      <c r="C9" s="4" t="s">
        <v>37</v>
      </c>
      <c r="D9" s="4" t="s">
        <v>38</v>
      </c>
      <c r="E9" s="5" t="s">
        <v>13</v>
      </c>
      <c r="F9" s="4" t="s">
        <v>21</v>
      </c>
      <c r="G9" s="4" t="s">
        <v>39</v>
      </c>
    </row>
    <row r="10" customFormat="false" ht="61.5" hidden="false" customHeight="true" outlineLevel="0" collapsed="false">
      <c r="A10" s="4" t="s">
        <v>40</v>
      </c>
      <c r="B10" s="4" t="s">
        <v>41</v>
      </c>
      <c r="C10" s="4" t="s">
        <v>42</v>
      </c>
      <c r="D10" s="4" t="s">
        <v>43</v>
      </c>
      <c r="E10" s="5" t="s">
        <v>44</v>
      </c>
      <c r="F10" s="4" t="s">
        <v>45</v>
      </c>
      <c r="G10" s="4" t="s">
        <v>46</v>
      </c>
    </row>
    <row r="11" customFormat="false" ht="61.5" hidden="false" customHeight="true" outlineLevel="0" collapsed="false">
      <c r="A11" s="4" t="s">
        <v>47</v>
      </c>
      <c r="B11" s="4" t="s">
        <v>48</v>
      </c>
      <c r="C11" s="4" t="s">
        <v>49</v>
      </c>
      <c r="D11" s="4" t="s">
        <v>50</v>
      </c>
      <c r="E11" s="5" t="s">
        <v>44</v>
      </c>
      <c r="F11" s="4" t="s">
        <v>45</v>
      </c>
      <c r="G11" s="4" t="s">
        <v>51</v>
      </c>
    </row>
    <row r="12" customFormat="false" ht="61.5" hidden="false" customHeight="true" outlineLevel="0" collapsed="false">
      <c r="A12" s="4" t="s">
        <v>52</v>
      </c>
      <c r="B12" s="4" t="s">
        <v>53</v>
      </c>
      <c r="C12" s="4" t="s">
        <v>54</v>
      </c>
      <c r="D12" s="4" t="s">
        <v>55</v>
      </c>
      <c r="E12" s="5" t="s">
        <v>13</v>
      </c>
      <c r="F12" s="4" t="s">
        <v>45</v>
      </c>
      <c r="G12" s="4" t="s">
        <v>56</v>
      </c>
    </row>
    <row r="13" customFormat="false" ht="61.5" hidden="false" customHeight="true" outlineLevel="0" collapsed="false">
      <c r="A13" s="4" t="s">
        <v>57</v>
      </c>
      <c r="B13" s="4" t="s">
        <v>58</v>
      </c>
      <c r="C13" s="4" t="s">
        <v>59</v>
      </c>
      <c r="D13" s="4" t="s">
        <v>60</v>
      </c>
      <c r="E13" s="5" t="s">
        <v>20</v>
      </c>
      <c r="F13" s="4" t="s">
        <v>27</v>
      </c>
      <c r="G13" s="4" t="s">
        <v>34</v>
      </c>
    </row>
    <row r="14" customFormat="false" ht="61.5" hidden="false" customHeight="true" outlineLevel="0" collapsed="false">
      <c r="A14" s="4" t="s">
        <v>61</v>
      </c>
      <c r="B14" s="4" t="s">
        <v>62</v>
      </c>
      <c r="C14" s="4" t="s">
        <v>63</v>
      </c>
      <c r="D14" s="4" t="s">
        <v>64</v>
      </c>
      <c r="E14" s="5" t="s">
        <v>20</v>
      </c>
      <c r="F14" s="4" t="s">
        <v>27</v>
      </c>
      <c r="G14" s="4" t="s">
        <v>65</v>
      </c>
    </row>
    <row r="16" customFormat="false" ht="15" hidden="false" customHeight="false" outlineLevel="0" collapsed="false">
      <c r="A16" s="6" t="s">
        <v>66</v>
      </c>
      <c r="B16" s="6" t="s">
        <v>20</v>
      </c>
      <c r="C16" s="7" t="n">
        <f aca="false">COUNTIF(E5:E14,"Đạt")</f>
        <v>4</v>
      </c>
      <c r="D16" s="6" t="s">
        <v>13</v>
      </c>
      <c r="E16" s="7" t="n">
        <f aca="false">COUNTIF(E5:E14,"Đạt có điều kiện")</f>
        <v>4</v>
      </c>
      <c r="F16" s="6" t="s">
        <v>44</v>
      </c>
      <c r="G16" s="7" t="n">
        <f aca="false">COUNTIF(E5:E14,"Chưa đạt")</f>
        <v>2</v>
      </c>
    </row>
  </sheetData>
  <mergeCells count="2">
    <mergeCell ref="A1:G1"/>
    <mergeCell ref="A2:G2"/>
  </mergeCells>
  <conditionalFormatting sqref="E5:E14">
    <cfRule type="expression" priority="2" aboveAverage="0" equalAverage="0" bottom="0" percent="0" rank="0" text="" dxfId="0">
      <formula>E5="Đạt"</formula>
    </cfRule>
    <cfRule type="expression" priority="3" aboveAverage="0" equalAverage="0" bottom="0" percent="0" rank="0" text="" dxfId="1">
      <formula>E5="Đạt có điều kiện"</formula>
    </cfRule>
    <cfRule type="expression" priority="4" aboveAverage="0" equalAverage="0" bottom="0" percent="0" rank="0" text="" dxfId="2">
      <formula>E5="Chưa đạt"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2026-10-07T16:05:39Z</dcterms:created>
  <dc:creator>openpyxl</dc:creator>
  <dc:description/>
  <dc:language>en-US</dc:language>
  <cp:lastModifiedBy/>
  <dcterms:modified xsi:type="dcterms:W3CDTF">2026-10-07T16:05:39Z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