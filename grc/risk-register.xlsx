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Ma trận 5x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<sst xmlns="http://schemas.openxmlformats.org/spreadsheetml/2006/main" count="124" uniqueCount="114">
  <si>
    <t xml:space="preserve">SỔ RỦI RO AN TOÀN THÔNG TIN — Banking Security Assessment</t>
  </si>
  <si>
    <t xml:space="preserve">Nguồn: Kịch bản 1 (ATO), Kịch bản 2 (IDOR/BOLA) và quan sát vận hành lab. Điểm rủi ro = Khả năng xảy ra × Mức độ ảnh hưởng (thang 1-5).</t>
  </si>
  <si>
    <t xml:space="preserve">ID</t>
  </si>
  <si>
    <t xml:space="preserve">Mô tả rủi ro</t>
  </si>
  <si>
    <t xml:space="preserve">Tài sản bị ảnh hưởng</t>
  </si>
  <si>
    <t xml:space="preserve">Nguồn đe doạ</t>
  </si>
  <si>
    <t xml:space="preserve">Lỗ hổng</t>
  </si>
  <si>
    <t xml:space="preserve">Khả năng
(1-5)</t>
  </si>
  <si>
    <t xml:space="preserve">Ảnh hưởng
(1-5)</t>
  </si>
  <si>
    <t xml:space="preserve">Điểm rủi ro</t>
  </si>
  <si>
    <t xml:space="preserve">Mức rủi ro</t>
  </si>
  <si>
    <t xml:space="preserve">Kiểm soát hiện có</t>
  </si>
  <si>
    <t xml:space="preserve">Risk treatment</t>
  </si>
  <si>
    <t xml:space="preserve">Đơn vị trách nhiệm</t>
  </si>
  <si>
    <t xml:space="preserve">Trạng thái</t>
  </si>
  <si>
    <t xml:space="preserve">R1</t>
  </si>
  <si>
    <t xml:space="preserve">Chiếm đoạt tài khoản (ATO) qua brute-force RDP vào tài khoản domain nguyenvana trên DC01</t>
  </si>
  <si>
    <t xml:space="preserve">DC01 (Domain Controller), tài khoản AD</t>
  </si>
  <si>
    <t xml:space="preserve">Tấn công từ bên ngoài / nội bộ bị xâm nhập</t>
  </si>
  <si>
    <t xml:space="preserve">Thiếu giới hạn tốc độ đăng nhập RDP ở thời điểm GPO lockout chưa kịp áp dụng toàn bộ</t>
  </si>
  <si>
    <t xml:space="preserve">GPO account lockout policy, Wazuh rule 60115/60122 phát hiện brute-force</t>
  </si>
  <si>
    <t xml:space="preserve">Mitigate (đã triển khai)</t>
  </si>
  <si>
    <t xml:space="preserve">SOC / Hạ tầng AD</t>
  </si>
  <si>
    <t xml:space="preserve">Đã xử lý — xác nhận qua Kịch bản 1</t>
  </si>
  <si>
    <t xml:space="preserve">R2</t>
  </si>
  <si>
    <t xml:space="preserve">Lộ dữ liệu người dùng khác qua lỗi IDOR/BOLA trên trang SQL Injection của DVWA</t>
  </si>
  <si>
    <t xml:space="preserve">WEB01 (ứng dụng DVWA)</t>
  </si>
  <si>
    <t xml:space="preserve">Người dùng nội bộ/đã xác thực lạm dụng tham số id</t>
  </si>
  <si>
    <t xml:space="preserve">Thiếu kiểm tra object-level authorization (session_user_id không được đối chiếu với id yêu cầu)</t>
  </si>
  <si>
    <t xml:space="preserve">Wazuh custom rule 100010/100011 giám sát hành vi enumeration (chỉ phát hiện, chưa ngăn chặn)</t>
  </si>
  <si>
    <t xml:space="preserve">Accept (ngắn hạn, có giám sát) + Mitigate (dài hạn, sửa code)</t>
  </si>
  <si>
    <t xml:space="preserve">Đội phát triển ứng dụng</t>
  </si>
  <si>
    <t xml:space="preserve">Đang giám sát — chưa khắc phục triệt để</t>
  </si>
  <si>
    <t xml:space="preserve">R3</t>
  </si>
  <si>
    <t xml:space="preserve">Pipeline SIEM âm thầm ngừng chuyển alert do lệch thông tin xác thực giữa filebeat và OpenSearch</t>
  </si>
  <si>
    <t xml:space="preserve">WAZUH01 (SIEM)</t>
  </si>
  <si>
    <t xml:space="preserve">Lỗi vận hành nội bộ (quên đồng bộ credential sau khi đổi mật khẩu)</t>
  </si>
  <si>
    <t xml:space="preserve">Thiếu cơ chế health-check tự động cho toàn bộ chuỗi manager→filebeat→indexer→dashboard</t>
  </si>
  <si>
    <t xml:space="preserve">Đã phát hiện qua kiểm tra alerts.json thủ công và filebeat test output; đã khắc phục bằng cập nhật keystore</t>
  </si>
  <si>
    <t xml:space="preserve">Mitigate (cần bổ sung health-check định kỳ, tự động)</t>
  </si>
  <si>
    <t xml:space="preserve">SOC / Quản trị SIEM</t>
  </si>
  <si>
    <t xml:space="preserve">Sự cố đã xử lý — kiểm soát phòng ngừa đang xây dựng</t>
  </si>
  <si>
    <t xml:space="preserve">R4</t>
  </si>
  <si>
    <t xml:space="preserve">Tài khoản sử dụng mật khẩu yếu/mặc định (ví dụ admin/admin trên ứng dụng DVWA)</t>
  </si>
  <si>
    <t xml:space="preserve">WEB01 (ứng dụng DVWA), tài khoản dịch vụ</t>
  </si>
  <si>
    <t xml:space="preserve">Credential stuffing / brute-force tự động</t>
  </si>
  <si>
    <t xml:space="preserve">Password policy (GPO) chỉ áp dụng cho tài khoản domain, không áp dụng cho tài khoản nội bộ ứng dụng</t>
  </si>
  <si>
    <t xml:space="preserve">GPO password policy cho domain; DVWA là ứng dụng demo nằm ngoài phạm vi áp GPO</t>
  </si>
  <si>
    <t xml:space="preserve">Accept (phạm vi lab/demo) / Mitigate (môi trường thật: đổi mật khẩu mặc định)</t>
  </si>
  <si>
    <t xml:space="preserve">Hạ tầng AD / Đội vận hành ứng dụng</t>
  </si>
  <si>
    <t xml:space="preserve">Một phần đã xử lý (domain), tồn tại ở ứng dụng demo</t>
  </si>
  <si>
    <t xml:space="preserve">R5</t>
  </si>
  <si>
    <t xml:space="preserve">Thiếu rà soát định kỳ rule NAT/firewall giữa WAN, DMZ và LAN nội bộ</t>
  </si>
  <si>
    <t xml:space="preserve">FW01 (pfSense), toàn bộ hạ tầng mạng</t>
  </si>
  <si>
    <t xml:space="preserve">Di chuyển ngang (lateral movement) nếu WEB01 bị chiếm quyền</t>
  </si>
  <si>
    <t xml:space="preserve">Rule NAT port-forward (80/22 WAN→WEB01) và phân vùng DMZ/LAN được cấu hình thủ công, chưa có chu kỳ review</t>
  </si>
  <si>
    <t xml:space="preserve">Phân vùng DMZ riêng biệt với LAN (infra/pfsense.md), nhưng chưa có lịch review định kỳ</t>
  </si>
  <si>
    <t xml:space="preserve">Mitigate (thiết lập chu kỳ review rule định kỳ, ví dụ hàng quý)</t>
  </si>
  <si>
    <t xml:space="preserve">Quản trị hạ tầng mạng</t>
  </si>
  <si>
    <t xml:space="preserve">Kiểm soát một phần</t>
  </si>
  <si>
    <t xml:space="preserve">R6</t>
  </si>
  <si>
    <t xml:space="preserve">Lỗ hổng kỹ thuật chưa vá trên ứng dụng web đại diện cho hệ thống legacy (DVWA security level thấp)</t>
  </si>
  <si>
    <t xml:space="preserve">Khai thác tự động (scanner) hoặc thủ công</t>
  </si>
  <si>
    <t xml:space="preserve">Ứng dụng không dùng prepared statement đầy đủ ở các luồng liên quan đến object reference</t>
  </si>
  <si>
    <t xml:space="preserve">Wazuh custom rule giám sát pattern tấn công, chưa vá lỗi ở tầng code</t>
  </si>
  <si>
    <t xml:space="preserve">Mitigate (dài hạn, escalate đội phát triển)</t>
  </si>
  <si>
    <t xml:space="preserve">Đang theo dõi</t>
  </si>
  <si>
    <t xml:space="preserve">R7</t>
  </si>
  <si>
    <t xml:space="preserve">Quyền truy cập của người dùng/nhóm chưa được rà soát định kỳ (vi phạm nguyên tắc least privilege)</t>
  </si>
  <si>
    <t xml:space="preserve">DC01 (AD, OU, GPO)</t>
  </si>
  <si>
    <t xml:space="preserve">Lạm dụng quyền bởi nội bộ hoặc tài khoản bị chiếm dụng</t>
  </si>
  <si>
    <t xml:space="preserve">Thiếu quy trình access recertification định kỳ sau khi thiết lập OU/GPO ban đầu</t>
  </si>
  <si>
    <t xml:space="preserve">Phân quyền theo OU (HR/IT) và GPO đã thiết lập ban đầu (infra/ad-gpo.md)</t>
  </si>
  <si>
    <t xml:space="preserve">Mitigate (thiết lập chu kỳ review quyền định kỳ)</t>
  </si>
  <si>
    <t xml:space="preserve">Hạ tầng AD / Quản trị nhân sự IT</t>
  </si>
  <si>
    <t xml:space="preserve">Chưa triển khai review định kỳ</t>
  </si>
  <si>
    <t xml:space="preserve">R8</t>
  </si>
  <si>
    <t xml:space="preserve">Nhật ký ứng dụng chạy trong container (Docker) không tự động được SIEM giám sát theo mặc định</t>
  </si>
  <si>
    <t xml:space="preserve">WEB01 (container hoá dịch vụ web)</t>
  </si>
  <si>
    <t xml:space="preserve">Vùng mù giám sát (blind spot) cho tấn công ở tầng ứng dụng</t>
  </si>
  <si>
    <t xml:space="preserve">Log ứng dụng nằm trong container, Wazuh agent cài trên OS host không đọc trực tiếp được nếu không mount volume</t>
  </si>
  <si>
    <t xml:space="preserve">Đã khắc phục cho DVWA bằng volume mount + custom rule (Kịch bản 2), chưa chuẩn hoá cho container khác</t>
  </si>
  <si>
    <t xml:space="preserve">Mitigate (chuẩn hoá quy trình logging cho mọi container trong môi trường thật)</t>
  </si>
  <si>
    <t xml:space="preserve">SOC / Đội hạ tầng ứng dụng</t>
  </si>
  <si>
    <t xml:space="preserve">Đã xử lý 1 trường hợp — cần nhân rộng</t>
  </si>
  <si>
    <t xml:space="preserve">Tổng hợp theo mức rủi ro:</t>
  </si>
  <si>
    <t xml:space="preserve">Rất cao</t>
  </si>
  <si>
    <t xml:space="preserve">Cao</t>
  </si>
  <si>
    <t xml:space="preserve">Trung bình</t>
  </si>
  <si>
    <t xml:space="preserve">Thấp</t>
  </si>
  <si>
    <t xml:space="preserve">MA TRẬN RỦI RO 5×5 (Khả năng × Ảnh hưởng)</t>
  </si>
  <si>
    <t xml:space="preserve">Điểm = Khả năng xảy ra × Mức độ ảnh hưởng. Các ô ghi ID rủi ro tương ứng từ sheet 'Risk Register'.</t>
  </si>
  <si>
    <t xml:space="preserve">Khả năng \ Ảnh hưởng</t>
  </si>
  <si>
    <t xml:space="preserve">5</t>
  </si>
  <si>
    <t xml:space="preserve">10</t>
  </si>
  <si>
    <t xml:space="preserve">15</t>
  </si>
  <si>
    <t xml:space="preserve">20</t>
  </si>
  <si>
    <t xml:space="preserve">25</t>
  </si>
  <si>
    <t xml:space="preserve">4</t>
  </si>
  <si>
    <t xml:space="preserve">8</t>
  </si>
  <si>
    <t xml:space="preserve">12
R2,R6</t>
  </si>
  <si>
    <t xml:space="preserve">16
R1</t>
  </si>
  <si>
    <t xml:space="preserve">3</t>
  </si>
  <si>
    <t xml:space="preserve">6</t>
  </si>
  <si>
    <t xml:space="preserve">9
R4,R8</t>
  </si>
  <si>
    <t xml:space="preserve">12
R3</t>
  </si>
  <si>
    <t xml:space="preserve">2</t>
  </si>
  <si>
    <t xml:space="preserve">8
R7</t>
  </si>
  <si>
    <t xml:space="preserve">10
R5</t>
  </si>
  <si>
    <t xml:space="preserve">1</t>
  </si>
  <si>
    <t xml:space="preserve">Thấp (1-4)</t>
  </si>
  <si>
    <t xml:space="preserve">Trung bình (5-9)</t>
  </si>
  <si>
    <t xml:space="preserve">Cao (10-15)</t>
  </si>
  <si>
    <t xml:space="preserve">Rất cao (16-25)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</si>
</sst>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FC7CE"/>
        <bgColor rgb="FFFFE699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2" min="12" style="0" width="22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60" hidden="false" customHeight="true" outlineLevel="0" collapsed="false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4" t="n">
        <v>4</v>
      </c>
      <c r="G5" s="4" t="n">
        <v>4</v>
      </c>
      <c r="H5" s="4" t="n">
        <f aca="false">F5*G5</f>
        <v>16</v>
      </c>
      <c r="I5" s="4" t="str">
        <f aca="false">IF(H5&gt;=16,"Rất cao",IF(H5&gt;=10,"Cao",IF(H5&gt;=5,"Trung bình","Thấp")))</f>
        <v>Rất cao</v>
      </c>
      <c r="J5" s="5" t="s">
        <v>20</v>
      </c>
      <c r="K5" s="5" t="s">
        <v>21</v>
      </c>
      <c r="L5" s="5" t="s">
        <v>22</v>
      </c>
      <c r="M5" s="5" t="s">
        <v>23</v>
      </c>
    </row>
    <row r="6" customFormat="false" ht="60" hidden="false" customHeight="true" outlineLevel="0" collapsed="false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4" t="n">
        <v>4</v>
      </c>
      <c r="G6" s="4" t="n">
        <v>3</v>
      </c>
      <c r="H6" s="4" t="n">
        <f aca="false">F6*G6</f>
        <v>12</v>
      </c>
      <c r="I6" s="4" t="str">
        <f aca="false">IF(H6&gt;=16,"Rất cao",IF(H6&gt;=10,"Cao",IF(H6&gt;=5,"Trung bình","Thấp")))</f>
        <v>Cao</v>
      </c>
      <c r="J6" s="5" t="s">
        <v>29</v>
      </c>
      <c r="K6" s="5" t="s">
        <v>30</v>
      </c>
      <c r="L6" s="5" t="s">
        <v>31</v>
      </c>
      <c r="M6" s="5" t="s">
        <v>32</v>
      </c>
    </row>
    <row r="7" customFormat="false" ht="60" hidden="false" customHeight="true" outlineLevel="0" collapsed="false">
      <c r="A7" s="4" t="s">
        <v>33</v>
      </c>
      <c r="B7" s="5" t="s">
        <v>34</v>
      </c>
      <c r="C7" s="5" t="s">
        <v>35</v>
      </c>
      <c r="D7" s="5" t="s">
        <v>36</v>
      </c>
      <c r="E7" s="5" t="s">
        <v>37</v>
      </c>
      <c r="F7" s="4" t="n">
        <v>3</v>
      </c>
      <c r="G7" s="4" t="n">
        <v>4</v>
      </c>
      <c r="H7" s="4" t="n">
        <f aca="false">F7*G7</f>
        <v>12</v>
      </c>
      <c r="I7" s="4" t="str">
        <f aca="false">IF(H7&gt;=16,"Rất cao",IF(H7&gt;=10,"Cao",IF(H7&gt;=5,"Trung bình","Thấp")))</f>
        <v>Cao</v>
      </c>
      <c r="J7" s="5" t="s">
        <v>38</v>
      </c>
      <c r="K7" s="5" t="s">
        <v>39</v>
      </c>
      <c r="L7" s="5" t="s">
        <v>40</v>
      </c>
      <c r="M7" s="5" t="s">
        <v>41</v>
      </c>
    </row>
    <row r="8" customFormat="false" ht="60" hidden="false" customHeight="true" outlineLevel="0" collapsed="false">
      <c r="A8" s="4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4" t="n">
        <v>3</v>
      </c>
      <c r="G8" s="4" t="n">
        <v>3</v>
      </c>
      <c r="H8" s="4" t="n">
        <f aca="false">F8*G8</f>
        <v>9</v>
      </c>
      <c r="I8" s="4" t="str">
        <f aca="false">IF(H8&gt;=16,"Rất cao",IF(H8&gt;=10,"Cao",IF(H8&gt;=5,"Trung bình","Thấp")))</f>
        <v>Trung bình</v>
      </c>
      <c r="J8" s="5" t="s">
        <v>47</v>
      </c>
      <c r="K8" s="5" t="s">
        <v>48</v>
      </c>
      <c r="L8" s="5" t="s">
        <v>49</v>
      </c>
      <c r="M8" s="5" t="s">
        <v>50</v>
      </c>
    </row>
    <row r="9" customFormat="false" ht="60" hidden="false" customHeight="true" outlineLevel="0" collapsed="false">
      <c r="A9" s="4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4" t="n">
        <v>2</v>
      </c>
      <c r="G9" s="4" t="n">
        <v>5</v>
      </c>
      <c r="H9" s="4" t="n">
        <f aca="false">F9*G9</f>
        <v>10</v>
      </c>
      <c r="I9" s="4" t="str">
        <f aca="false">IF(H9&gt;=16,"Rất cao",IF(H9&gt;=10,"Cao",IF(H9&gt;=5,"Trung bình","Thấp")))</f>
        <v>Cao</v>
      </c>
      <c r="J9" s="5" t="s">
        <v>56</v>
      </c>
      <c r="K9" s="5" t="s">
        <v>57</v>
      </c>
      <c r="L9" s="5" t="s">
        <v>58</v>
      </c>
      <c r="M9" s="5" t="s">
        <v>59</v>
      </c>
    </row>
    <row r="10" customFormat="false" ht="60" hidden="false" customHeight="true" outlineLevel="0" collapsed="false">
      <c r="A10" s="4" t="s">
        <v>60</v>
      </c>
      <c r="B10" s="5" t="s">
        <v>61</v>
      </c>
      <c r="C10" s="5" t="s">
        <v>26</v>
      </c>
      <c r="D10" s="5" t="s">
        <v>62</v>
      </c>
      <c r="E10" s="5" t="s">
        <v>63</v>
      </c>
      <c r="F10" s="4" t="n">
        <v>4</v>
      </c>
      <c r="G10" s="4" t="n">
        <v>3</v>
      </c>
      <c r="H10" s="4" t="n">
        <f aca="false">F10*G10</f>
        <v>12</v>
      </c>
      <c r="I10" s="4" t="str">
        <f aca="false">IF(H10&gt;=16,"Rất cao",IF(H10&gt;=10,"Cao",IF(H10&gt;=5,"Trung bình","Thấp")))</f>
        <v>Cao</v>
      </c>
      <c r="J10" s="5" t="s">
        <v>64</v>
      </c>
      <c r="K10" s="5" t="s">
        <v>65</v>
      </c>
      <c r="L10" s="5" t="s">
        <v>31</v>
      </c>
      <c r="M10" s="5" t="s">
        <v>66</v>
      </c>
    </row>
    <row r="11" customFormat="false" ht="60" hidden="false" customHeight="true" outlineLevel="0" collapsed="false">
      <c r="A11" s="4" t="s">
        <v>67</v>
      </c>
      <c r="B11" s="5" t="s">
        <v>68</v>
      </c>
      <c r="C11" s="5" t="s">
        <v>69</v>
      </c>
      <c r="D11" s="5" t="s">
        <v>70</v>
      </c>
      <c r="E11" s="5" t="s">
        <v>71</v>
      </c>
      <c r="F11" s="4" t="n">
        <v>2</v>
      </c>
      <c r="G11" s="4" t="n">
        <v>4</v>
      </c>
      <c r="H11" s="4" t="n">
        <f aca="false">F11*G11</f>
        <v>8</v>
      </c>
      <c r="I11" s="4" t="str">
        <f aca="false">IF(H11&gt;=16,"Rất cao",IF(H11&gt;=10,"Cao",IF(H11&gt;=5,"Trung bình","Thấp")))</f>
        <v>Trung bình</v>
      </c>
      <c r="J11" s="5" t="s">
        <v>72</v>
      </c>
      <c r="K11" s="5" t="s">
        <v>73</v>
      </c>
      <c r="L11" s="5" t="s">
        <v>74</v>
      </c>
      <c r="M11" s="5" t="s">
        <v>75</v>
      </c>
    </row>
    <row r="12" customFormat="false" ht="60" hidden="false" customHeight="true" outlineLevel="0" collapsed="false">
      <c r="A12" s="4" t="s">
        <v>76</v>
      </c>
      <c r="B12" s="5" t="s">
        <v>77</v>
      </c>
      <c r="C12" s="5" t="s">
        <v>78</v>
      </c>
      <c r="D12" s="5" t="s">
        <v>79</v>
      </c>
      <c r="E12" s="5" t="s">
        <v>80</v>
      </c>
      <c r="F12" s="4" t="n">
        <v>3</v>
      </c>
      <c r="G12" s="4" t="n">
        <v>3</v>
      </c>
      <c r="H12" s="4" t="n">
        <f aca="false">F12*G12</f>
        <v>9</v>
      </c>
      <c r="I12" s="4" t="str">
        <f aca="false">IF(H12&gt;=16,"Rất cao",IF(H12&gt;=10,"Cao",IF(H12&gt;=5,"Trung bình","Thấp")))</f>
        <v>Trung bình</v>
      </c>
      <c r="J12" s="5" t="s">
        <v>81</v>
      </c>
      <c r="K12" s="5" t="s">
        <v>82</v>
      </c>
      <c r="L12" s="5" t="s">
        <v>83</v>
      </c>
      <c r="M12" s="5" t="s">
        <v>84</v>
      </c>
    </row>
    <row r="14" customFormat="false" ht="15" hidden="false" customHeight="false" outlineLevel="0" collapsed="false">
      <c r="A14" s="6" t="s">
        <v>85</v>
      </c>
      <c r="B14" s="6" t="s">
        <v>86</v>
      </c>
      <c r="C14" s="7" t="n">
        <f aca="false">COUNTIF(I5:I12,"Rất cao")</f>
        <v>1</v>
      </c>
      <c r="D14" s="6" t="s">
        <v>87</v>
      </c>
      <c r="E14" s="7" t="n">
        <f aca="false">COUNTIF(I5:I12,"Cao")</f>
        <v>4</v>
      </c>
      <c r="F14" s="6" t="s">
        <v>88</v>
      </c>
      <c r="G14" s="7" t="n">
        <f aca="false">COUNTIF(I5:I12,"Trung bình")</f>
        <v>3</v>
      </c>
      <c r="H14" s="6" t="s">
        <v>89</v>
      </c>
      <c r="I14" s="7" t="n">
        <f aca="false">COUNTIF(I5:I12,"Thấp")</f>
        <v>0</v>
      </c>
    </row>
  </sheetData>
  <mergeCells count="2">
    <mergeCell ref="A1:M1"/>
    <mergeCell ref="A2:M2"/>
  </mergeCells>
  <conditionalFormatting sqref="I5:I12">
    <cfRule type="expression" priority="2" aboveAverage="0" equalAverage="0" bottom="0" percent="0" rank="0" text="" dxfId="0">
      <formula>I5="Rất cao"</formula>
    </cfRule>
    <cfRule type="expression" priority="3" aboveAverage="0" equalAverage="0" bottom="0" percent="0" rank="0" text="" dxfId="1">
      <formula>I5="Cao"</formula>
    </cfRule>
    <cfRule type="expression" priority="4" aboveAverage="0" equalAverage="0" bottom="0" percent="0" rank="0" text="" dxfId="2">
      <formula>I5="Trung bình"</formula>
    </cfRule>
    <cfRule type="expression" priority="5" aboveAverage="0" equalAverage="0" bottom="0" percent="0" rank="0" text="" dxfId="3">
      <formula>I5="Thấp"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8" t="s">
        <v>92</v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</row>
    <row r="4" customFormat="false" ht="33.75" hidden="false" customHeight="true" outlineLevel="0" collapsed="false">
      <c r="A4" s="3" t="n">
        <v>5</v>
      </c>
      <c r="C4" s="9" t="s">
        <v>93</v>
      </c>
      <c r="D4" s="10" t="s">
        <v>94</v>
      </c>
      <c r="E4" s="10" t="s">
        <v>95</v>
      </c>
      <c r="F4" s="11" t="s">
        <v>96</v>
      </c>
      <c r="G4" s="11" t="s">
        <v>97</v>
      </c>
    </row>
    <row r="5" customFormat="false" ht="33.75" hidden="false" customHeight="true" outlineLevel="0" collapsed="false">
      <c r="A5" s="3" t="n">
        <v>4</v>
      </c>
      <c r="C5" s="12" t="s">
        <v>98</v>
      </c>
      <c r="D5" s="9" t="s">
        <v>99</v>
      </c>
      <c r="E5" s="13" t="s">
        <v>100</v>
      </c>
      <c r="F5" s="14" t="s">
        <v>101</v>
      </c>
      <c r="G5" s="11" t="s">
        <v>96</v>
      </c>
    </row>
    <row r="6" customFormat="false" ht="33.75" hidden="false" customHeight="true" outlineLevel="0" collapsed="false">
      <c r="A6" s="3" t="n">
        <v>3</v>
      </c>
      <c r="C6" s="12" t="s">
        <v>102</v>
      </c>
      <c r="D6" s="9" t="s">
        <v>103</v>
      </c>
      <c r="E6" s="15" t="s">
        <v>104</v>
      </c>
      <c r="F6" s="13" t="s">
        <v>105</v>
      </c>
      <c r="G6" s="10" t="s">
        <v>95</v>
      </c>
    </row>
    <row r="7" customFormat="false" ht="33.75" hidden="false" customHeight="true" outlineLevel="0" collapsed="false">
      <c r="A7" s="3" t="n">
        <v>2</v>
      </c>
      <c r="C7" s="12" t="s">
        <v>106</v>
      </c>
      <c r="D7" s="12" t="s">
        <v>98</v>
      </c>
      <c r="E7" s="9" t="s">
        <v>103</v>
      </c>
      <c r="F7" s="15" t="s">
        <v>107</v>
      </c>
      <c r="G7" s="13" t="s">
        <v>108</v>
      </c>
    </row>
    <row r="8" customFormat="false" ht="33.75" hidden="false" customHeight="true" outlineLevel="0" collapsed="false">
      <c r="A8" s="3" t="n">
        <v>1</v>
      </c>
      <c r="C8" s="12" t="s">
        <v>109</v>
      </c>
      <c r="D8" s="12" t="s">
        <v>106</v>
      </c>
      <c r="E8" s="12" t="s">
        <v>102</v>
      </c>
      <c r="F8" s="12" t="s">
        <v>98</v>
      </c>
      <c r="G8" s="9" t="s">
        <v>93</v>
      </c>
    </row>
    <row r="11" customFormat="false" ht="15" hidden="false" customHeight="false" outlineLevel="0" collapsed="false">
      <c r="A11" s="16"/>
      <c r="B11" s="7" t="s">
        <v>110</v>
      </c>
    </row>
    <row r="12" customFormat="false" ht="15" hidden="false" customHeight="false" outlineLevel="0" collapsed="false">
      <c r="A12" s="17"/>
      <c r="B12" s="7" t="s">
        <v>111</v>
      </c>
    </row>
    <row r="13" customFormat="false" ht="15" hidden="false" customHeight="false" outlineLevel="0" collapsed="false">
      <c r="A13" s="18"/>
      <c r="B13" s="7" t="s">
        <v>112</v>
      </c>
    </row>
    <row r="14" customFormat="false" ht="15" hidden="false" customHeight="false" outlineLevel="0" collapsed="false">
      <c r="A14" s="19"/>
      <c r="B14" s="7" t="s">
        <v>113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2026-10-07T16:03:43Z</dcterms:created>
  <dc:creator>openpyxl</dc:creator>
  <dc:description/>
  <dc:language>en-US</dc:language>
  <cp:lastModifiedBy/>
  <dcterms:modified xsi:type="dcterms:W3CDTF">2026-10-07T16:03:43Z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